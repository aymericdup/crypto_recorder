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\Github\crypto_recorder\crypto_recorder\"/>
    </mc:Choice>
  </mc:AlternateContent>
  <xr:revisionPtr revIDLastSave="0" documentId="13_ncr:1_{659F3C59-1038-4F24-8C8C-47C87B7B4E28}" xr6:coauthVersionLast="47" xr6:coauthVersionMax="47" xr10:uidLastSave="{00000000-0000-0000-0000-000000000000}"/>
  <bookViews>
    <workbookView xWindow="26400" yWindow="5295" windowWidth="23490" windowHeight="15690" xr2:uid="{2CE8D15D-FB78-4539-AD7C-D5BD4B5D08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4" i="1"/>
  <c r="C20" i="1"/>
  <c r="B20" i="1"/>
  <c r="H24" i="1"/>
  <c r="H23" i="1"/>
  <c r="H21" i="1"/>
  <c r="H20" i="1"/>
  <c r="H18" i="1"/>
  <c r="H17" i="1"/>
  <c r="F18" i="1"/>
  <c r="F16" i="1"/>
  <c r="E16" i="1"/>
  <c r="E15" i="1"/>
  <c r="E14" i="1"/>
  <c r="D2" i="1"/>
  <c r="D3" i="1"/>
  <c r="J10" i="1"/>
  <c r="K10" i="1" s="1"/>
  <c r="J9" i="1"/>
  <c r="K9" i="1" s="1"/>
  <c r="G10" i="1"/>
  <c r="F10" i="1"/>
  <c r="G9" i="1"/>
  <c r="J3" i="1"/>
  <c r="J2" i="1"/>
  <c r="D4" i="1" l="1"/>
  <c r="D5" i="1" s="1"/>
  <c r="D6" i="1" s="1"/>
  <c r="F2" i="1"/>
  <c r="G2" i="1" s="1"/>
  <c r="F3" i="1"/>
  <c r="G3" i="1" s="1"/>
</calcChain>
</file>

<file path=xl/sharedStrings.xml><?xml version="1.0" encoding="utf-8"?>
<sst xmlns="http://schemas.openxmlformats.org/spreadsheetml/2006/main" count="33" uniqueCount="30">
  <si>
    <t>short</t>
  </si>
  <si>
    <t>long</t>
  </si>
  <si>
    <t>HL</t>
  </si>
  <si>
    <t>market</t>
  </si>
  <si>
    <t>fr</t>
  </si>
  <si>
    <t>fr_freq</t>
  </si>
  <si>
    <t>remain_time</t>
  </si>
  <si>
    <t>fr_prec</t>
  </si>
  <si>
    <t>side</t>
  </si>
  <si>
    <t>coutdown (min)</t>
  </si>
  <si>
    <t>fr_ann</t>
  </si>
  <si>
    <t>price</t>
  </si>
  <si>
    <t>notional</t>
  </si>
  <si>
    <t>symbol</t>
  </si>
  <si>
    <t>BIO</t>
  </si>
  <si>
    <t>Exchange</t>
  </si>
  <si>
    <t>WOOFIPRO</t>
  </si>
  <si>
    <t>Qty</t>
  </si>
  <si>
    <t>Fees</t>
  </si>
  <si>
    <t>FR</t>
  </si>
  <si>
    <t>Avg entry</t>
  </si>
  <si>
    <t>Avg exit</t>
  </si>
  <si>
    <t>rate</t>
  </si>
  <si>
    <t>gross pnl</t>
  </si>
  <si>
    <t>net pnl</t>
  </si>
  <si>
    <t>1y</t>
  </si>
  <si>
    <t>1d</t>
  </si>
  <si>
    <t>1h</t>
  </si>
  <si>
    <t>Paradex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</si>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</sst>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1B56-BDFA-446E-8092-DF7373777BFD}">
  <dimension ref="A1:K28"/>
  <sheetViews>
    <sheetView tabSelected="1" zoomScaleNormal="100" workbookViewId="0">
      <selection activeCell="M26" sqref="M26"/>
    </sheetView>
  </sheetViews>
  <sheetFormatPr defaultColWidth="11.42578125" defaultRowHeight="15" x14ac:dyDescent="0.25"/>
  <cols>
    <col min="4" max="4" width="15.140625" bestFit="1" customWidth="1"/>
    <col min="5" max="5" width="12.85546875" customWidth="1"/>
    <col min="6" max="6" width="10.7109375" bestFit="1" customWidth="1"/>
    <col min="15" max="15" width="12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10</v>
      </c>
      <c r="E1" t="s">
        <v>9</v>
      </c>
      <c r="F1" t="s">
        <v>6</v>
      </c>
      <c r="G1" t="s">
        <v>7</v>
      </c>
      <c r="H1" t="s">
        <v>8</v>
      </c>
      <c r="I1" t="s">
        <v>11</v>
      </c>
      <c r="J1" t="s">
        <v>12</v>
      </c>
      <c r="K1">
        <v>100</v>
      </c>
    </row>
    <row r="2" spans="1:11" x14ac:dyDescent="0.25">
      <c r="A2" t="s">
        <v>2</v>
      </c>
      <c r="B2">
        <v>-0.14949999999999999</v>
      </c>
      <c r="C2">
        <v>1</v>
      </c>
      <c r="D2">
        <f>B2*(24/C2)*365</f>
        <v>-1309.6200000000001</v>
      </c>
      <c r="E2">
        <v>56</v>
      </c>
      <c r="F2">
        <f>E2/(C2*60)</f>
        <v>0.93333333333333335</v>
      </c>
      <c r="G2">
        <f>B2*F2</f>
        <v>-0.13953333333333334</v>
      </c>
      <c r="H2" t="s">
        <v>1</v>
      </c>
      <c r="I2">
        <v>0.18357000000000001</v>
      </c>
      <c r="J2">
        <f>$K$1/I2</f>
        <v>544.75132102195346</v>
      </c>
    </row>
    <row r="3" spans="1:11" x14ac:dyDescent="0.25">
      <c r="A3" t="s">
        <v>28</v>
      </c>
      <c r="B3">
        <v>-1.5864</v>
      </c>
      <c r="C3">
        <v>4</v>
      </c>
      <c r="D3">
        <f>B3*(24/C3)*365</f>
        <v>-3474.2159999999999</v>
      </c>
      <c r="E3">
        <v>56</v>
      </c>
      <c r="F3">
        <f>E3/(C3*60)</f>
        <v>0.23333333333333334</v>
      </c>
      <c r="G3">
        <f>B3*F3/C3</f>
        <v>-9.2539999999999997E-2</v>
      </c>
      <c r="H3" t="s">
        <v>0</v>
      </c>
      <c r="I3">
        <v>0.18093000000000001</v>
      </c>
      <c r="J3">
        <f>$K$1/I3</f>
        <v>552.69993920300669</v>
      </c>
    </row>
    <row r="4" spans="1:11" x14ac:dyDescent="0.25">
      <c r="C4" t="s">
        <v>25</v>
      </c>
      <c r="D4">
        <f>D3-D2</f>
        <v>-2164.5959999999995</v>
      </c>
    </row>
    <row r="5" spans="1:11" x14ac:dyDescent="0.25">
      <c r="C5" t="s">
        <v>26</v>
      </c>
      <c r="D5">
        <f>D4/365</f>
        <v>-5.9303999999999988</v>
      </c>
    </row>
    <row r="6" spans="1:11" x14ac:dyDescent="0.25">
      <c r="C6" t="s">
        <v>27</v>
      </c>
      <c r="D6">
        <f>D5/24</f>
        <v>-0.24709999999999996</v>
      </c>
    </row>
    <row r="8" spans="1:11" x14ac:dyDescent="0.25">
      <c r="A8" s="1" t="s">
        <v>13</v>
      </c>
      <c r="B8" t="s">
        <v>15</v>
      </c>
      <c r="C8" t="s">
        <v>8</v>
      </c>
      <c r="D8" t="s">
        <v>17</v>
      </c>
      <c r="E8" t="s">
        <v>20</v>
      </c>
      <c r="F8" t="s">
        <v>21</v>
      </c>
      <c r="G8" t="s">
        <v>18</v>
      </c>
      <c r="H8" t="s">
        <v>19</v>
      </c>
      <c r="I8" t="s">
        <v>22</v>
      </c>
      <c r="J8" t="s">
        <v>23</v>
      </c>
      <c r="K8" t="s">
        <v>24</v>
      </c>
    </row>
    <row r="9" spans="1:11" x14ac:dyDescent="0.25">
      <c r="A9" t="s">
        <v>14</v>
      </c>
      <c r="B9" t="s">
        <v>16</v>
      </c>
      <c r="C9">
        <v>1</v>
      </c>
      <c r="D9">
        <v>544</v>
      </c>
      <c r="E9">
        <v>0.18357000000000001</v>
      </c>
      <c r="F9">
        <v>0.18254999999999999</v>
      </c>
      <c r="G9">
        <f>0.01498+0.014897</f>
        <v>2.9877000000000001E-2</v>
      </c>
      <c r="H9">
        <v>1.4122399999999999</v>
      </c>
      <c r="J9">
        <f>(F9-E9)*C9*D9</f>
        <v>-0.55488000000001136</v>
      </c>
      <c r="K9">
        <f>J9+H9-G9</f>
        <v>0.82748299999998853</v>
      </c>
    </row>
    <row r="10" spans="1:11" x14ac:dyDescent="0.25">
      <c r="A10" t="s">
        <v>14</v>
      </c>
      <c r="B10" t="s">
        <v>2</v>
      </c>
      <c r="C10">
        <v>-1</v>
      </c>
      <c r="D10">
        <v>522</v>
      </c>
      <c r="E10">
        <v>0.18093000000000001</v>
      </c>
      <c r="F10">
        <f>(0.1818+0.18167)/2</f>
        <v>0.18173499999999998</v>
      </c>
      <c r="G10">
        <f>0.04+0.02+0</f>
        <v>0.06</v>
      </c>
      <c r="H10">
        <v>-0.25369999999999998</v>
      </c>
      <c r="I10">
        <v>-0.24579999999999999</v>
      </c>
      <c r="J10">
        <f>(F10-E10)*C10*D10</f>
        <v>-0.4202099999999856</v>
      </c>
      <c r="K10">
        <f>J10+H10-G10</f>
        <v>-0.73390999999998563</v>
      </c>
    </row>
    <row r="14" spans="1:11" x14ac:dyDescent="0.25">
      <c r="C14">
        <v>75</v>
      </c>
      <c r="D14">
        <v>1.3046</v>
      </c>
      <c r="E14">
        <f>SUMPRODUCT(C14:C15,D14:D15)</f>
        <v>99.146299999999997</v>
      </c>
    </row>
    <row r="15" spans="1:11" x14ac:dyDescent="0.25">
      <c r="C15">
        <v>1</v>
      </c>
      <c r="D15">
        <v>1.3012999999999999</v>
      </c>
      <c r="E15">
        <f>E14/76</f>
        <v>1.3045565789473683</v>
      </c>
    </row>
    <row r="16" spans="1:11" x14ac:dyDescent="0.25">
      <c r="C16">
        <v>76</v>
      </c>
      <c r="D16">
        <v>1.3066</v>
      </c>
      <c r="E16">
        <f>E15-D16</f>
        <v>-2.0434210526316665E-3</v>
      </c>
      <c r="F16">
        <f>E16*76</f>
        <v>-0.15530000000000665</v>
      </c>
      <c r="G16">
        <v>1.3143720000000001</v>
      </c>
      <c r="H16">
        <v>77.7</v>
      </c>
    </row>
    <row r="17" spans="1:8" x14ac:dyDescent="0.25">
      <c r="F17">
        <v>7.9100000000000004E-2</v>
      </c>
      <c r="G17">
        <v>1.310071</v>
      </c>
      <c r="H17">
        <f>G16-G17</f>
        <v>4.3010000000001103E-3</v>
      </c>
    </row>
    <row r="18" spans="1:8" x14ac:dyDescent="0.25">
      <c r="F18">
        <f>F16+F17</f>
        <v>-7.6200000000006651E-2</v>
      </c>
      <c r="H18">
        <f>H17*H16</f>
        <v>0.33418770000000858</v>
      </c>
    </row>
    <row r="19" spans="1:8" x14ac:dyDescent="0.25">
      <c r="A19" t="s">
        <v>29</v>
      </c>
      <c r="H19">
        <v>-0.01</v>
      </c>
    </row>
    <row r="20" spans="1:8" x14ac:dyDescent="0.25">
      <c r="A20">
        <v>1000</v>
      </c>
      <c r="B20">
        <f>A20*A7%</f>
        <v>0</v>
      </c>
      <c r="C20">
        <f>B20/8000</f>
        <v>0</v>
      </c>
      <c r="H20">
        <f>H19+H18</f>
        <v>0.32418770000000857</v>
      </c>
    </row>
    <row r="21" spans="1:8" x14ac:dyDescent="0.25">
      <c r="H21">
        <f>H20+F18</f>
        <v>0.24798770000000192</v>
      </c>
    </row>
    <row r="22" spans="1:8" x14ac:dyDescent="0.25">
      <c r="B22">
        <v>3.8999999999999998E-3</v>
      </c>
      <c r="H22">
        <v>200</v>
      </c>
    </row>
    <row r="23" spans="1:8" x14ac:dyDescent="0.25">
      <c r="B23">
        <v>3.8999999999999998E-3</v>
      </c>
      <c r="H23">
        <f>H21/H22</f>
        <v>1.2399385000000096E-3</v>
      </c>
    </row>
    <row r="24" spans="1:8" x14ac:dyDescent="0.25">
      <c r="B24">
        <f>B25*3</f>
        <v>3.8999999999999998E-3</v>
      </c>
      <c r="H24">
        <f>H23*100</f>
        <v>0.12399385000000096</v>
      </c>
    </row>
    <row r="25" spans="1:8" x14ac:dyDescent="0.25">
      <c r="B25">
        <v>1.2999999999999999E-3</v>
      </c>
    </row>
    <row r="27" spans="1:8" x14ac:dyDescent="0.25">
      <c r="A27" s="2"/>
    </row>
    <row r="28" spans="1:8" x14ac:dyDescent="0.25">
      <c r="B28">
        <f>0.004*24*365</f>
        <v>35.04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duport</dc:creator>
  <cp:lastModifiedBy>aymeric duport</cp:lastModifiedBy>
  <dcterms:created xsi:type="dcterms:W3CDTF">2025-08-27T16:37:45Z</dcterms:created>
  <dcterms:modified xsi:type="dcterms:W3CDTF">2025-09-16T20:24:09Z</dcterms:modified>
</cp:coreProperties>
</file>